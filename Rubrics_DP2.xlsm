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autoCompressPictures="0" defaultThemeVersion="124226"/>
  <bookViews>
    <workbookView xWindow="0" yWindow="0" windowWidth="20490" windowHeight="7755" tabRatio="883"/>
  </bookViews>
  <sheets>
    <sheet name="Voorbeeld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Naam1">#REF!</definedName>
    <definedName name="Naam2">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40" i="1" l="1"/>
  <c r="C73" i="1"/>
  <c r="C72" i="1"/>
  <c r="C71" i="1"/>
  <c r="G50" i="1"/>
  <c r="A71" i="1" s="1"/>
  <c r="F50" i="1"/>
  <c r="F35" i="1"/>
  <c r="G35" i="1"/>
  <c r="A70" i="1" s="1"/>
  <c r="C70" i="1"/>
  <c r="C69" i="1"/>
  <c r="G27" i="1"/>
  <c r="F27" i="1"/>
  <c r="B69" i="1" s="1"/>
  <c r="G20" i="1"/>
  <c r="A68" i="1" s="1"/>
  <c r="F20" i="1"/>
  <c r="G59" i="1"/>
  <c r="A72" i="1" s="1"/>
  <c r="G66" i="1"/>
  <c r="A73" i="1" s="1"/>
  <c r="B70" i="1" l="1"/>
  <c r="H35" i="1"/>
  <c r="B71" i="1"/>
  <c r="E71" i="1" s="1"/>
  <c r="H50" i="1"/>
  <c r="A69" i="1"/>
  <c r="H27" i="1"/>
  <c r="B68" i="1"/>
  <c r="H20" i="1"/>
  <c r="F74" i="1" l="1"/>
  <c r="F66" i="1"/>
  <c r="F12" i="1"/>
  <c r="C68" i="1"/>
  <c r="F59" i="1"/>
  <c r="B73" i="1" l="1"/>
  <c r="E73" i="1" s="1"/>
  <c r="H66" i="1"/>
  <c r="B72" i="1"/>
  <c r="E72" i="1" s="1"/>
  <c r="H59" i="1"/>
  <c r="E70" i="1"/>
  <c r="E68" i="1"/>
  <c r="E69" i="1"/>
  <c r="G73" i="1" l="1"/>
  <c r="G4" i="1" s="1"/>
  <c r="G70" i="1"/>
  <c r="F4" i="1" s="1"/>
  <c r="E74" i="1"/>
  <c r="E4" i="1" l="1"/>
</calcChain>
</file>

<file path=xl/sharedStrings.xml><?xml version="1.0" encoding="utf-8"?>
<sst xmlns="http://schemas.openxmlformats.org/spreadsheetml/2006/main" count="95" uniqueCount="89">
  <si>
    <t>Beschrijving</t>
  </si>
  <si>
    <t>#</t>
  </si>
  <si>
    <t>Punten</t>
  </si>
  <si>
    <t>vak</t>
  </si>
  <si>
    <t>Student B</t>
  </si>
  <si>
    <t>Student A</t>
  </si>
  <si>
    <t>Toelichting</t>
  </si>
  <si>
    <t>max</t>
  </si>
  <si>
    <t>Max</t>
  </si>
  <si>
    <t>DP2 - Design Patterns 2</t>
  </si>
  <si>
    <t>Game</t>
  </si>
  <si>
    <t>Game KO</t>
  </si>
  <si>
    <t>User input mogelijk</t>
  </si>
  <si>
    <t>Aparte thread voor UI en logic</t>
  </si>
  <si>
    <t>ActionContainer (user input afvangen)</t>
  </si>
  <si>
    <t>Extra aandacht voor uiterlijk</t>
  </si>
  <si>
    <t>Meerdere units in game</t>
  </si>
  <si>
    <t>Units hebben basisklasse</t>
  </si>
  <si>
    <t>User interface</t>
  </si>
  <si>
    <t>Factory method voor units</t>
  </si>
  <si>
    <t>Factory zonder if's of switch statement</t>
  </si>
  <si>
    <t>Units ontkoppeld van factory method</t>
  </si>
  <si>
    <t>Alle acties uit units weggehaald</t>
  </si>
  <si>
    <t>Container wordt in de unit zelf gevuld</t>
  </si>
  <si>
    <t>dt in de method van unit</t>
  </si>
  <si>
    <t>Dt goed toegepast in unit</t>
  </si>
  <si>
    <t>Game levels vullen via low binding</t>
  </si>
  <si>
    <t>Compiler</t>
  </si>
  <si>
    <t>Totaal</t>
  </si>
  <si>
    <t>State patroon toegepast in game klasse</t>
  </si>
  <si>
    <t>Volgend level ziet er mooi uit</t>
  </si>
  <si>
    <t>Finished level is aanwezig</t>
  </si>
  <si>
    <t>Game levels volgens state patroon</t>
  </si>
  <si>
    <t>Game units volgens state patroon</t>
  </si>
  <si>
    <t>Transities states voor units slim geïmplementeerd</t>
  </si>
  <si>
    <t>Uitgebreide/Zinnige implementatie voor states van units</t>
  </si>
  <si>
    <t>Model/View/Controller goed gescheiden</t>
  </si>
  <si>
    <t>Basis week 1</t>
  </si>
  <si>
    <t>Basis week 3</t>
  </si>
  <si>
    <t>Game week 1</t>
  </si>
  <si>
    <t>Game week 3</t>
  </si>
  <si>
    <t>Game week 5</t>
  </si>
  <si>
    <t>Basis week 5</t>
  </si>
  <si>
    <t>Compiler week 2</t>
  </si>
  <si>
    <t>Modulair, elke klasse heeft 1 doel, klasse is klein, methodes zijn klein</t>
  </si>
  <si>
    <t>Token: Regel, positie, level, test, partner, enum</t>
  </si>
  <si>
    <t>Alle elementen gezet op token (behalve partner)</t>
  </si>
  <si>
    <t>Partner gezet van token</t>
  </si>
  <si>
    <t>Compiler week 6</t>
  </si>
  <si>
    <t>Compiler week 4</t>
  </si>
  <si>
    <t>Basis week 2</t>
  </si>
  <si>
    <t>Basis week 4</t>
  </si>
  <si>
    <t>Compiler KO</t>
  </si>
  <si>
    <t>Readonly toegang tot node</t>
  </si>
  <si>
    <t>Gekoppelde lijst met actions</t>
  </si>
  <si>
    <t>Uitlezen en toekennen variabelen is mogelijk</t>
  </si>
  <si>
    <t>Enkelvoudige operatoren zijn mogelijk</t>
  </si>
  <si>
    <t>Compiler genereert juiste gekoppelde lijst</t>
  </si>
  <si>
    <t>Gecombineerde operatoren mogelijk</t>
  </si>
  <si>
    <t>Virtual machine werkt</t>
  </si>
  <si>
    <t>Efficiënte aanroep van functies</t>
  </si>
  <si>
    <t>Variabelen opslag efficiënt</t>
  </si>
  <si>
    <t>Gebruik van visitor</t>
  </si>
  <si>
    <t>ActionNodes met juiste subklasses</t>
  </si>
  <si>
    <t>Deelcijfer</t>
  </si>
  <si>
    <t>Efficiënte opbouw van LinkedList (zoals inserten van lists)</t>
  </si>
  <si>
    <t>Functies met command pattern</t>
  </si>
  <si>
    <t>ActionContainer is thread safe</t>
  </si>
  <si>
    <t>While, If, Assignment, Interne Function Calls</t>
  </si>
  <si>
    <t>Basis game loop</t>
  </si>
  <si>
    <t>Game loop met geavanceerdere FPS of updates per seconds</t>
  </si>
  <si>
    <t>Netheid van de methode NextLevel</t>
  </si>
  <si>
    <t>Tokenizer kent: Variabelen, Toekenning, Conditie, Lus, Operatoren, Functieaanroep, Getal</t>
  </si>
  <si>
    <t>Goede manier om strings te lezen in tokenizer</t>
  </si>
  <si>
    <t>If met/zonder else wordt netjes afgehandeld in tokenizer</t>
  </si>
  <si>
    <t>Foutmeldingen worden goed gegenereerd in tokenizer</t>
  </si>
  <si>
    <t>Foutmeldingen worden goed gegenereerd in compiler</t>
  </si>
  <si>
    <t>Templates zien er goed uit (if, while, if/else etc)</t>
  </si>
  <si>
    <t>CompiledAssignment genereert juiste nodes</t>
  </si>
  <si>
    <t>CompiledCondition genereert juiste nodes</t>
  </si>
  <si>
    <t>Variabelen typesafe</t>
  </si>
  <si>
    <t>?</t>
  </si>
  <si>
    <t>Kan zijn dat ik classes anders heb genoemd.</t>
  </si>
  <si>
    <t>??</t>
  </si>
  <si>
    <t>ex?</t>
  </si>
  <si>
    <t>Unaire operatoren mogelijk ++ += --</t>
  </si>
  <si>
    <t>Basis week 6 = VM</t>
  </si>
  <si>
    <t xml:space="preserve">x = y + 1 </t>
  </si>
  <si>
    <t>x =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</si>
</sst>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6"/>
      <color theme="0"/>
      <name val="Calibri"/>
      <family val="2"/>
      <scheme val="minor"/>
    </font>
    <font>
      <i/>
      <sz val="12"/>
      <color theme="0" tint="-0.34998626667073579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i/>
      <sz val="9"/>
      <color theme="0" tint="-0.34998626667073579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i/>
      <sz val="8"/>
      <color theme="0" tint="-0.34998626667073579"/>
      <name val="Calibri"/>
      <family val="2"/>
      <scheme val="minor"/>
    </font>
    <font>
      <b/>
      <sz val="14"/>
      <color theme="1" tint="0.34998626667073579"/>
      <name val="Calibri"/>
      <family val="2"/>
      <scheme val="minor"/>
    </font>
    <font>
      <b/>
      <i/>
      <sz val="11"/>
      <color theme="1" tint="0.34998626667073579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b/>
      <i/>
      <sz val="8"/>
      <color theme="0" tint="-0.249977111117893"/>
      <name val="Calibri"/>
      <family val="2"/>
      <scheme val="minor"/>
    </font>
    <font>
      <b/>
      <sz val="14"/>
      <color rgb="FF006100"/>
      <name val="Calibri"/>
      <family val="2"/>
      <scheme val="minor"/>
    </font>
    <font>
      <sz val="9"/>
      <color theme="1" tint="0.34998626667073579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4"/>
      <color rgb="FF006100"/>
      <name val="Calibri"/>
      <family val="2"/>
      <scheme val="minor"/>
    </font>
    <font>
      <b/>
      <sz val="8"/>
      <color theme="0" tint="-0.249977111117893"/>
      <name val="Calibri"/>
      <family val="2"/>
      <scheme val="minor"/>
    </font>
    <font>
      <i/>
      <sz val="8"/>
      <color theme="0" tint="-0.249977111117893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i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theme="1" tint="0.34998626667073579"/>
      </left>
      <right/>
      <top style="thick">
        <color theme="1" tint="0.34998626667073579"/>
      </top>
      <bottom/>
      <diagonal/>
    </border>
    <border>
      <left/>
      <right/>
      <top style="thick">
        <color theme="1" tint="0.34998626667073579"/>
      </top>
      <bottom/>
      <diagonal/>
    </border>
    <border>
      <left/>
      <right style="thick">
        <color theme="1" tint="0.34998626667073579"/>
      </right>
      <top style="thick">
        <color theme="1" tint="0.34998626667073579"/>
      </top>
      <bottom/>
      <diagonal/>
    </border>
    <border>
      <left style="thick">
        <color theme="1" tint="0.34998626667073579"/>
      </left>
      <right/>
      <top/>
      <bottom/>
      <diagonal/>
    </border>
    <border>
      <left/>
      <right style="thick">
        <color theme="1" tint="0.34998626667073579"/>
      </right>
      <top/>
      <bottom/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/>
      <right/>
      <top/>
      <bottom style="thick">
        <color theme="1" tint="0.34998626667073579"/>
      </bottom>
      <diagonal/>
    </border>
    <border>
      <left/>
      <right style="thick">
        <color theme="1" tint="0.34998626667073579"/>
      </right>
      <top/>
      <bottom style="thick">
        <color theme="1" tint="0.34998626667073579"/>
      </bottom>
      <diagonal/>
    </border>
    <border>
      <left style="thick">
        <color theme="1" tint="0.34998626667073579"/>
      </left>
      <right style="thick">
        <color theme="1" tint="0.34998626667073579"/>
      </right>
      <top/>
      <bottom/>
      <diagonal/>
    </border>
    <border>
      <left style="thick">
        <color theme="1" tint="0.34998626667073579"/>
      </left>
      <right style="thick">
        <color theme="1" tint="0.34998626667073579"/>
      </right>
      <top/>
      <bottom style="thick">
        <color theme="1" tint="0.34998626667073579"/>
      </bottom>
      <diagonal/>
    </border>
    <border>
      <left style="thin">
        <color rgb="FF7F7F7F"/>
      </left>
      <right style="thick">
        <color theme="1" tint="0.34998626667073579"/>
      </right>
      <top style="thin">
        <color rgb="FF7F7F7F"/>
      </top>
      <bottom style="thin">
        <color rgb="FF7F7F7F"/>
      </bottom>
      <diagonal/>
    </border>
    <border>
      <left style="thick">
        <color theme="1" tint="0.34998626667073579"/>
      </left>
      <right style="thick">
        <color theme="1" tint="0.34998626667073579"/>
      </right>
      <top style="thick">
        <color theme="1" tint="0.34998626667073579"/>
      </top>
      <bottom/>
      <diagonal/>
    </border>
    <border>
      <left style="thin">
        <color rgb="FF7F7F7F"/>
      </left>
      <right style="thick">
        <color theme="1" tint="0.34998626667073579"/>
      </right>
      <top style="thin">
        <color rgb="FF7F7F7F"/>
      </top>
      <bottom style="thick">
        <color theme="1" tint="0.34998626667073579"/>
      </bottom>
      <diagonal/>
    </border>
    <border>
      <left style="thick">
        <color theme="1" tint="0.34998626667073579"/>
      </left>
      <right style="thick">
        <color theme="1" tint="0.34998626667073579"/>
      </right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 style="thick">
        <color theme="1" tint="0.34998626667073579"/>
      </left>
      <right style="thick">
        <color theme="1" tint="0.34998626667073579"/>
      </right>
      <top style="thick">
        <color auto="1"/>
      </top>
      <bottom/>
      <diagonal/>
    </border>
    <border>
      <left style="thick">
        <color theme="1" tint="0.34998626667073579"/>
      </left>
      <right/>
      <top style="thick">
        <color auto="1"/>
      </top>
      <bottom/>
      <diagonal/>
    </border>
    <border>
      <left style="thick">
        <color theme="1" tint="0.34998626667073579"/>
      </left>
      <right style="thick">
        <color theme="1" tint="0.34998626667073579"/>
      </right>
      <top style="thick">
        <color auto="1"/>
      </top>
      <bottom style="thick">
        <color theme="1" tint="0.34998626667073579"/>
      </bottom>
      <diagonal/>
    </border>
    <border>
      <left style="thin">
        <color rgb="FF7F7F7F"/>
      </left>
      <right style="thick">
        <color theme="1" tint="0.34998626667073579"/>
      </right>
      <top style="thin">
        <color rgb="FF7F7F7F"/>
      </top>
      <bottom/>
      <diagonal/>
    </border>
    <border>
      <left style="thin">
        <color rgb="FF7F7F7F"/>
      </left>
      <right style="thick">
        <color theme="1" tint="0.34998626667073579"/>
      </right>
      <top/>
      <bottom/>
      <diagonal/>
    </border>
    <border>
      <left/>
      <right style="thin">
        <color rgb="FF7F7F7F"/>
      </right>
      <top/>
      <bottom/>
      <diagonal/>
    </border>
    <border>
      <left style="thick">
        <color theme="1" tint="0.34998626667073579"/>
      </left>
      <right/>
      <top style="thick">
        <color theme="1" tint="0.34998626667073579"/>
      </top>
      <bottom style="thick">
        <color theme="1" tint="0.34998626667073579"/>
      </bottom>
      <diagonal/>
    </border>
    <border>
      <left style="thin">
        <color rgb="FF7F7F7F"/>
      </left>
      <right style="thick">
        <color theme="1" tint="0.34998626667073579"/>
      </right>
      <top style="thick">
        <color theme="1" tint="0.34998626667073579"/>
      </top>
      <bottom style="thin">
        <color rgb="FF7F7F7F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</cellStyleXfs>
  <cellXfs count="118">
    <xf numFmtId="0" fontId="0" fillId="0" borderId="0" xfId="0"/>
    <xf numFmtId="0" fontId="0" fillId="0" borderId="0" xfId="0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 vertical="center"/>
    </xf>
    <xf numFmtId="0" fontId="0" fillId="0" borderId="6" xfId="0" applyBorder="1"/>
    <xf numFmtId="0" fontId="3" fillId="4" borderId="8" xfId="0" applyFont="1" applyFill="1" applyBorder="1" applyAlignment="1">
      <alignment horizontal="center" vertical="center"/>
    </xf>
    <xf numFmtId="0" fontId="0" fillId="0" borderId="0" xfId="0" applyBorder="1"/>
    <xf numFmtId="0" fontId="9" fillId="0" borderId="0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10" fontId="11" fillId="0" borderId="0" xfId="0" applyNumberFormat="1" applyFont="1" applyAlignment="1">
      <alignment horizontal="center" vertical="center"/>
    </xf>
    <xf numFmtId="2" fontId="8" fillId="0" borderId="0" xfId="0" applyNumberFormat="1" applyFont="1" applyAlignment="1">
      <alignment horizontal="center"/>
    </xf>
    <xf numFmtId="2" fontId="8" fillId="0" borderId="6" xfId="0" applyNumberFormat="1" applyFont="1" applyBorder="1" applyAlignment="1">
      <alignment horizontal="center" vertical="center"/>
    </xf>
    <xf numFmtId="2" fontId="8" fillId="0" borderId="10" xfId="0" applyNumberFormat="1" applyFont="1" applyBorder="1" applyAlignment="1">
      <alignment horizontal="center"/>
    </xf>
    <xf numFmtId="2" fontId="8" fillId="0" borderId="3" xfId="0" applyNumberFormat="1" applyFont="1" applyBorder="1" applyAlignment="1">
      <alignment horizontal="center"/>
    </xf>
    <xf numFmtId="0" fontId="0" fillId="0" borderId="9" xfId="0" applyBorder="1" applyAlignment="1">
      <alignment horizontal="center" vertical="center"/>
    </xf>
    <xf numFmtId="2" fontId="14" fillId="2" borderId="13" xfId="1" applyNumberFormat="1" applyFont="1" applyBorder="1" applyAlignment="1">
      <alignment horizontal="center" vertical="center"/>
    </xf>
    <xf numFmtId="1" fontId="15" fillId="0" borderId="6" xfId="0" applyNumberFormat="1" applyFont="1" applyBorder="1" applyAlignment="1">
      <alignment horizontal="center" vertical="center"/>
    </xf>
    <xf numFmtId="1" fontId="15" fillId="0" borderId="11" xfId="0" applyNumberFormat="1" applyFont="1" applyBorder="1" applyAlignment="1">
      <alignment horizontal="center" vertical="center"/>
    </xf>
    <xf numFmtId="1" fontId="16" fillId="0" borderId="6" xfId="0" applyNumberFormat="1" applyFont="1" applyBorder="1" applyAlignment="1">
      <alignment horizontal="center"/>
    </xf>
    <xf numFmtId="2" fontId="10" fillId="0" borderId="3" xfId="0" applyNumberFormat="1" applyFont="1" applyBorder="1" applyAlignment="1">
      <alignment horizontal="center"/>
    </xf>
    <xf numFmtId="0" fontId="6" fillId="0" borderId="0" xfId="0" applyFont="1"/>
    <xf numFmtId="0" fontId="12" fillId="0" borderId="0" xfId="0" applyFont="1" applyAlignment="1">
      <alignment horizontal="center" vertical="top"/>
    </xf>
    <xf numFmtId="0" fontId="12" fillId="0" borderId="5" xfId="0" applyFont="1" applyBorder="1" applyAlignment="1">
      <alignment horizontal="center" vertical="top"/>
    </xf>
    <xf numFmtId="0" fontId="12" fillId="0" borderId="0" xfId="0" applyFont="1" applyBorder="1" applyAlignment="1">
      <alignment horizontal="center" vertical="top"/>
    </xf>
    <xf numFmtId="0" fontId="5" fillId="0" borderId="0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3" borderId="6" xfId="2" applyFont="1" applyBorder="1" applyAlignment="1">
      <alignment horizontal="center" vertical="center" wrapText="1"/>
    </xf>
    <xf numFmtId="0" fontId="18" fillId="3" borderId="9" xfId="2" applyFont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5" fillId="0" borderId="16" xfId="0" applyFont="1" applyBorder="1" applyAlignment="1"/>
    <xf numFmtId="0" fontId="5" fillId="0" borderId="0" xfId="0" applyFont="1" applyBorder="1" applyAlignment="1"/>
    <xf numFmtId="0" fontId="5" fillId="0" borderId="17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10" fontId="13" fillId="0" borderId="19" xfId="0" applyNumberFormat="1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top"/>
    </xf>
    <xf numFmtId="2" fontId="17" fillId="2" borderId="20" xfId="1" applyNumberFormat="1" applyFont="1" applyBorder="1" applyAlignment="1">
      <alignment horizontal="center"/>
    </xf>
    <xf numFmtId="0" fontId="12" fillId="0" borderId="10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1" fontId="11" fillId="0" borderId="7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 wrapText="1"/>
    </xf>
    <xf numFmtId="1" fontId="16" fillId="0" borderId="10" xfId="0" applyNumberFormat="1" applyFont="1" applyBorder="1" applyAlignment="1">
      <alignment horizontal="center"/>
    </xf>
    <xf numFmtId="0" fontId="19" fillId="5" borderId="13" xfId="0" applyFont="1" applyFill="1" applyBorder="1" applyAlignment="1">
      <alignment horizontal="center" vertical="center" wrapText="1"/>
    </xf>
    <xf numFmtId="1" fontId="23" fillId="5" borderId="13" xfId="0" applyNumberFormat="1" applyFont="1" applyFill="1" applyBorder="1" applyAlignment="1">
      <alignment horizontal="center"/>
    </xf>
    <xf numFmtId="1" fontId="23" fillId="5" borderId="6" xfId="0" applyNumberFormat="1" applyFont="1" applyFill="1" applyBorder="1" applyAlignment="1">
      <alignment horizontal="center" vertical="center"/>
    </xf>
    <xf numFmtId="1" fontId="0" fillId="0" borderId="0" xfId="0" applyNumberFormat="1"/>
    <xf numFmtId="0" fontId="12" fillId="0" borderId="11" xfId="0" applyFont="1" applyBorder="1" applyAlignment="1">
      <alignment horizontal="center" vertical="center"/>
    </xf>
    <xf numFmtId="1" fontId="11" fillId="0" borderId="0" xfId="0" applyNumberFormat="1" applyFont="1" applyBorder="1" applyAlignment="1">
      <alignment horizontal="center" vertical="center"/>
    </xf>
    <xf numFmtId="1" fontId="16" fillId="0" borderId="11" xfId="0" applyNumberFormat="1" applyFont="1" applyBorder="1" applyAlignment="1">
      <alignment horizontal="center"/>
    </xf>
    <xf numFmtId="0" fontId="19" fillId="5" borderId="6" xfId="0" applyFont="1" applyFill="1" applyBorder="1" applyAlignment="1">
      <alignment horizontal="center" vertical="center"/>
    </xf>
    <xf numFmtId="1" fontId="23" fillId="5" borderId="10" xfId="0" applyNumberFormat="1" applyFont="1" applyFill="1" applyBorder="1" applyAlignment="1">
      <alignment horizontal="center"/>
    </xf>
    <xf numFmtId="1" fontId="0" fillId="0" borderId="0" xfId="0" applyNumberFormat="1" applyBorder="1"/>
    <xf numFmtId="1" fontId="0" fillId="0" borderId="17" xfId="0" applyNumberFormat="1" applyBorder="1"/>
    <xf numFmtId="0" fontId="19" fillId="5" borderId="13" xfId="0" applyFont="1" applyFill="1" applyBorder="1" applyAlignment="1">
      <alignment horizontal="center" vertical="center"/>
    </xf>
    <xf numFmtId="1" fontId="11" fillId="0" borderId="2" xfId="0" applyNumberFormat="1" applyFont="1" applyBorder="1" applyAlignment="1">
      <alignment horizontal="center" vertical="center"/>
    </xf>
    <xf numFmtId="1" fontId="11" fillId="0" borderId="5" xfId="0" applyNumberFormat="1" applyFont="1" applyBorder="1" applyAlignment="1">
      <alignment horizontal="center" vertical="center"/>
    </xf>
    <xf numFmtId="0" fontId="18" fillId="3" borderId="13" xfId="2" applyFont="1" applyBorder="1" applyAlignment="1">
      <alignment horizontal="center" vertical="center" wrapText="1"/>
    </xf>
    <xf numFmtId="0" fontId="18" fillId="3" borderId="10" xfId="2" applyFont="1" applyBorder="1" applyAlignment="1">
      <alignment horizontal="center" vertical="center" wrapText="1"/>
    </xf>
    <xf numFmtId="0" fontId="18" fillId="3" borderId="11" xfId="2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2" fontId="11" fillId="0" borderId="24" xfId="0" applyNumberFormat="1" applyFont="1" applyBorder="1" applyAlignment="1">
      <alignment horizontal="center" vertical="center"/>
    </xf>
    <xf numFmtId="0" fontId="0" fillId="0" borderId="5" xfId="0" applyBorder="1"/>
    <xf numFmtId="0" fontId="13" fillId="5" borderId="13" xfId="2" applyFont="1" applyFill="1" applyBorder="1" applyAlignment="1">
      <alignment horizontal="center" vertical="center" wrapText="1"/>
    </xf>
    <xf numFmtId="0" fontId="20" fillId="0" borderId="5" xfId="0" applyFont="1" applyBorder="1" applyAlignment="1">
      <alignment horizontal="left" vertical="top" wrapText="1" readingOrder="1"/>
    </xf>
    <xf numFmtId="0" fontId="20" fillId="0" borderId="6" xfId="0" applyFont="1" applyBorder="1" applyAlignment="1">
      <alignment horizontal="left" vertical="top" wrapText="1" readingOrder="1"/>
    </xf>
    <xf numFmtId="0" fontId="20" fillId="0" borderId="5" xfId="0" applyFont="1" applyBorder="1" applyAlignment="1">
      <alignment horizontal="left" vertical="top" readingOrder="1"/>
    </xf>
    <xf numFmtId="0" fontId="20" fillId="0" borderId="6" xfId="0" applyFont="1" applyBorder="1" applyAlignment="1">
      <alignment horizontal="left" vertical="top" readingOrder="1"/>
    </xf>
    <xf numFmtId="0" fontId="4" fillId="0" borderId="4" xfId="0" applyFont="1" applyBorder="1" applyAlignment="1">
      <alignment horizontal="center" vertical="center" textRotation="90"/>
    </xf>
    <xf numFmtId="0" fontId="4" fillId="0" borderId="6" xfId="0" applyFont="1" applyBorder="1" applyAlignment="1">
      <alignment horizontal="center" vertical="center" textRotation="90"/>
    </xf>
    <xf numFmtId="0" fontId="4" fillId="0" borderId="9" xfId="0" applyFont="1" applyBorder="1" applyAlignment="1">
      <alignment horizontal="center" vertical="center" textRotation="90"/>
    </xf>
    <xf numFmtId="0" fontId="24" fillId="5" borderId="3" xfId="0" applyFont="1" applyFill="1" applyBorder="1" applyAlignment="1">
      <alignment horizontal="left" vertical="top" wrapText="1" readingOrder="1"/>
    </xf>
    <xf numFmtId="0" fontId="24" fillId="5" borderId="4" xfId="0" applyFont="1" applyFill="1" applyBorder="1" applyAlignment="1">
      <alignment horizontal="left" vertical="top" wrapText="1" readingOrder="1"/>
    </xf>
    <xf numFmtId="0" fontId="20" fillId="0" borderId="7" xfId="0" applyFont="1" applyBorder="1" applyAlignment="1">
      <alignment horizontal="left" vertical="top" readingOrder="1"/>
    </xf>
    <xf numFmtId="0" fontId="20" fillId="0" borderId="9" xfId="0" applyFont="1" applyBorder="1" applyAlignment="1">
      <alignment horizontal="left" vertical="top" readingOrder="1"/>
    </xf>
    <xf numFmtId="0" fontId="6" fillId="0" borderId="0" xfId="0" applyFont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2" fillId="3" borderId="25" xfId="2" applyBorder="1" applyAlignment="1">
      <alignment horizontal="center" vertical="center" textRotation="90"/>
    </xf>
    <xf numFmtId="0" fontId="2" fillId="3" borderId="12" xfId="2" applyBorder="1" applyAlignment="1">
      <alignment horizontal="center" vertical="center" textRotation="90"/>
    </xf>
    <xf numFmtId="0" fontId="2" fillId="3" borderId="21" xfId="2" applyBorder="1" applyAlignment="1">
      <alignment horizontal="center" vertical="center" textRotation="90"/>
    </xf>
    <xf numFmtId="0" fontId="2" fillId="3" borderId="14" xfId="2" applyBorder="1" applyAlignment="1">
      <alignment horizontal="center" vertical="center" textRotation="90"/>
    </xf>
    <xf numFmtId="0" fontId="2" fillId="3" borderId="23" xfId="2" applyBorder="1" applyAlignment="1">
      <alignment horizontal="left" vertical="top" wrapText="1" readingOrder="1"/>
    </xf>
    <xf numFmtId="0" fontId="2" fillId="3" borderId="22" xfId="2" applyBorder="1" applyAlignment="1">
      <alignment horizontal="left" vertical="top" wrapText="1" readingOrder="1"/>
    </xf>
    <xf numFmtId="0" fontId="2" fillId="3" borderId="0" xfId="2" applyBorder="1" applyAlignment="1">
      <alignment horizontal="left" vertical="top" wrapText="1" readingOrder="1"/>
    </xf>
    <xf numFmtId="0" fontId="2" fillId="3" borderId="6" xfId="2" applyBorder="1" applyAlignment="1">
      <alignment horizontal="left" vertical="top" wrapText="1" readingOrder="1"/>
    </xf>
    <xf numFmtId="0" fontId="20" fillId="0" borderId="0" xfId="0" applyFont="1" applyBorder="1" applyAlignment="1">
      <alignment horizontal="left" vertical="top" wrapText="1" readingOrder="1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2" fillId="3" borderId="8" xfId="2" applyBorder="1" applyAlignment="1">
      <alignment horizontal="left" vertical="top" wrapText="1" readingOrder="1"/>
    </xf>
    <xf numFmtId="0" fontId="2" fillId="3" borderId="9" xfId="2" applyBorder="1" applyAlignment="1">
      <alignment horizontal="left" vertical="top" wrapText="1" readingOrder="1"/>
    </xf>
    <xf numFmtId="0" fontId="20" fillId="0" borderId="0" xfId="0" applyFont="1" applyBorder="1" applyAlignment="1">
      <alignment vertical="top" readingOrder="1"/>
    </xf>
    <xf numFmtId="0" fontId="20" fillId="0" borderId="6" xfId="0" applyFont="1" applyBorder="1" applyAlignment="1">
      <alignment vertical="top" readingOrder="1"/>
    </xf>
    <xf numFmtId="0" fontId="2" fillId="3" borderId="5" xfId="2" applyBorder="1" applyAlignment="1">
      <alignment horizontal="left" vertical="top" wrapText="1" readingOrder="1"/>
    </xf>
    <xf numFmtId="0" fontId="0" fillId="0" borderId="0" xfId="0" applyAlignment="1"/>
    <xf numFmtId="0" fontId="24" fillId="5" borderId="0" xfId="0" applyFont="1" applyFill="1" applyBorder="1" applyAlignment="1">
      <alignment horizontal="left" vertical="top" wrapText="1" readingOrder="1"/>
    </xf>
    <xf numFmtId="0" fontId="24" fillId="5" borderId="6" xfId="0" applyFont="1" applyFill="1" applyBorder="1" applyAlignment="1">
      <alignment horizontal="left" vertical="top" wrapText="1" readingOrder="1"/>
    </xf>
    <xf numFmtId="0" fontId="20" fillId="0" borderId="0" xfId="0" applyFont="1" applyBorder="1" applyAlignment="1">
      <alignment horizontal="left" vertical="top" readingOrder="1"/>
    </xf>
    <xf numFmtId="0" fontId="22" fillId="5" borderId="2" xfId="0" applyFont="1" applyFill="1" applyBorder="1"/>
    <xf numFmtId="0" fontId="22" fillId="5" borderId="3" xfId="0" applyFont="1" applyFill="1" applyBorder="1"/>
    <xf numFmtId="0" fontId="24" fillId="5" borderId="2" xfId="0" applyFont="1" applyFill="1" applyBorder="1" applyAlignment="1">
      <alignment horizontal="left" vertical="top" wrapText="1" readingOrder="1"/>
    </xf>
    <xf numFmtId="0" fontId="21" fillId="0" borderId="4" xfId="0" applyFont="1" applyBorder="1" applyAlignment="1">
      <alignment horizontal="center" vertical="center" textRotation="90"/>
    </xf>
    <xf numFmtId="0" fontId="21" fillId="0" borderId="6" xfId="0" applyFont="1" applyBorder="1" applyAlignment="1">
      <alignment horizontal="center" vertical="center" textRotation="90"/>
    </xf>
    <xf numFmtId="0" fontId="21" fillId="0" borderId="9" xfId="0" applyFont="1" applyBorder="1" applyAlignment="1">
      <alignment horizontal="center" vertical="center" textRotation="90"/>
    </xf>
    <xf numFmtId="0" fontId="20" fillId="0" borderId="7" xfId="0" applyFont="1" applyBorder="1" applyAlignment="1">
      <alignment horizontal="left" vertical="top" wrapText="1" readingOrder="1"/>
    </xf>
    <xf numFmtId="0" fontId="20" fillId="0" borderId="9" xfId="0" applyFont="1" applyBorder="1" applyAlignment="1">
      <alignment horizontal="left" vertical="top" wrapText="1" readingOrder="1"/>
    </xf>
    <xf numFmtId="0" fontId="2" fillId="3" borderId="4" xfId="2" applyBorder="1" applyAlignment="1">
      <alignment horizontal="center" vertical="center" textRotation="90"/>
    </xf>
    <xf numFmtId="0" fontId="2" fillId="3" borderId="6" xfId="2" applyBorder="1" applyAlignment="1">
      <alignment horizontal="center" vertical="center" textRotation="90"/>
    </xf>
    <xf numFmtId="0" fontId="2" fillId="3" borderId="9" xfId="2" applyBorder="1" applyAlignment="1">
      <alignment horizontal="center" vertical="center" textRotation="90"/>
    </xf>
    <xf numFmtId="0" fontId="2" fillId="3" borderId="2" xfId="2" applyBorder="1" applyAlignment="1">
      <alignment horizontal="left" vertical="top" wrapText="1" readingOrder="1"/>
    </xf>
    <xf numFmtId="0" fontId="2" fillId="3" borderId="4" xfId="2" applyBorder="1" applyAlignment="1">
      <alignment horizontal="left" vertical="top" wrapText="1" readingOrder="1"/>
    </xf>
    <xf numFmtId="0" fontId="2" fillId="3" borderId="7" xfId="2" applyBorder="1" applyAlignment="1">
      <alignment horizontal="left" vertical="top" wrapText="1" readingOrder="1"/>
    </xf>
  </cellXfs>
  <cellStyles count="3">
    <cellStyle name="Berekening" xfId="2" builtinId="22"/>
    <cellStyle name="Goed" xfId="1" builtinId="26"/>
    <cellStyle name="Standaard" xfId="0" builtinId="0"/>
  </cellStyles>
  <dxfs count="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8"/>
      <tableStyleElement type="headerRow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I99"/>
  <sheetViews>
    <sheetView tabSelected="1" zoomScale="130" zoomScaleNormal="130" zoomScalePageLayoutView="130" workbookViewId="0">
      <pane xSplit="6" ySplit="5" topLeftCell="G36" activePane="bottomRight" state="frozen"/>
      <selection pane="topRight" activeCell="H1" sqref="H1"/>
      <selection pane="bottomLeft" activeCell="A6" sqref="A6"/>
      <selection pane="bottomRight" activeCell="H38" sqref="H38"/>
    </sheetView>
  </sheetViews>
  <sheetFormatPr defaultColWidth="8.7109375" defaultRowHeight="15" x14ac:dyDescent="0.25"/>
  <cols>
    <col min="1" max="1" width="5.7109375" style="2" customWidth="1"/>
    <col min="2" max="2" width="29.140625" customWidth="1"/>
    <col min="3" max="3" width="53.5703125" customWidth="1"/>
    <col min="4" max="4" width="6.140625" style="28" customWidth="1"/>
    <col min="5" max="5" width="9.140625" style="13" customWidth="1"/>
    <col min="6" max="6" width="13.7109375" style="8" customWidth="1"/>
    <col min="7" max="7" width="9.140625" style="24" bestFit="1" customWidth="1"/>
  </cols>
  <sheetData>
    <row r="1" spans="1:8" x14ac:dyDescent="0.25">
      <c r="A1" s="82" t="s">
        <v>3</v>
      </c>
      <c r="B1" s="82"/>
      <c r="C1" s="1" t="s">
        <v>9</v>
      </c>
    </row>
    <row r="2" spans="1:8" x14ac:dyDescent="0.25">
      <c r="A2" s="82" t="s">
        <v>5</v>
      </c>
      <c r="B2" s="82"/>
      <c r="C2" s="1"/>
    </row>
    <row r="3" spans="1:8" ht="15.75" thickBot="1" x14ac:dyDescent="0.3">
      <c r="A3" s="82" t="s">
        <v>4</v>
      </c>
      <c r="B3" s="82"/>
      <c r="C3" s="1"/>
      <c r="E3" s="13" t="s">
        <v>28</v>
      </c>
      <c r="F3" s="8" t="s">
        <v>10</v>
      </c>
      <c r="G3" s="8" t="s">
        <v>27</v>
      </c>
    </row>
    <row r="4" spans="1:8" ht="17.25" customHeight="1" thickTop="1" thickBot="1" x14ac:dyDescent="0.3">
      <c r="A4" s="83" t="s">
        <v>6</v>
      </c>
      <c r="B4" s="83"/>
      <c r="C4" s="17"/>
      <c r="D4" s="29"/>
      <c r="E4" s="18" t="str">
        <f>IF(OR(F12="KO",F40="KO"), "NB", E74)</f>
        <v>NB</v>
      </c>
      <c r="F4" s="68" t="str">
        <f>IF(F12="KO", "NB", G70)</f>
        <v>NB</v>
      </c>
      <c r="G4" s="68" t="str">
        <f>IF(F40="KO", "NB", G73)</f>
        <v>NB</v>
      </c>
      <c r="H4" s="69"/>
    </row>
    <row r="5" spans="1:8" s="1" customFormat="1" ht="18.399999999999999" customHeight="1" thickTop="1" thickBot="1" x14ac:dyDescent="0.3">
      <c r="A5" s="5" t="s">
        <v>1</v>
      </c>
      <c r="B5" s="93" t="s">
        <v>0</v>
      </c>
      <c r="C5" s="94"/>
      <c r="D5" s="30" t="s">
        <v>8</v>
      </c>
      <c r="E5" s="14" t="s">
        <v>2</v>
      </c>
      <c r="F5" s="8"/>
      <c r="G5" s="24"/>
      <c r="H5" s="1" t="s">
        <v>64</v>
      </c>
    </row>
    <row r="6" spans="1:8" s="1" customFormat="1" ht="15.75" thickTop="1" x14ac:dyDescent="0.25">
      <c r="A6" s="84" t="s">
        <v>11</v>
      </c>
      <c r="B6" s="88" t="s">
        <v>12</v>
      </c>
      <c r="C6" s="89"/>
      <c r="D6" s="31">
        <v>1</v>
      </c>
      <c r="E6" s="19"/>
      <c r="F6" s="8"/>
      <c r="G6" s="24"/>
    </row>
    <row r="7" spans="1:8" s="1" customFormat="1" x14ac:dyDescent="0.25">
      <c r="A7" s="85"/>
      <c r="B7" s="88" t="s">
        <v>18</v>
      </c>
      <c r="C7" s="89"/>
      <c r="D7" s="31">
        <v>1</v>
      </c>
      <c r="E7" s="19"/>
      <c r="F7" s="8"/>
      <c r="G7" s="24"/>
    </row>
    <row r="8" spans="1:8" s="1" customFormat="1" x14ac:dyDescent="0.25">
      <c r="A8" s="86"/>
      <c r="B8" s="88" t="s">
        <v>16</v>
      </c>
      <c r="C8" s="89"/>
      <c r="D8" s="31">
        <v>1</v>
      </c>
      <c r="E8" s="19"/>
      <c r="F8" s="8"/>
      <c r="G8" s="24"/>
    </row>
    <row r="9" spans="1:8" s="1" customFormat="1" x14ac:dyDescent="0.25">
      <c r="A9" s="86"/>
      <c r="B9" s="88" t="s">
        <v>19</v>
      </c>
      <c r="C9" s="89"/>
      <c r="D9" s="31">
        <v>1</v>
      </c>
      <c r="E9" s="19"/>
      <c r="F9" s="8"/>
      <c r="G9" s="24"/>
    </row>
    <row r="10" spans="1:8" s="1" customFormat="1" x14ac:dyDescent="0.25">
      <c r="A10" s="86"/>
      <c r="B10" s="88" t="s">
        <v>24</v>
      </c>
      <c r="C10" s="89"/>
      <c r="D10" s="31">
        <v>1</v>
      </c>
      <c r="E10" s="19"/>
      <c r="F10" s="8"/>
      <c r="G10" s="24"/>
    </row>
    <row r="11" spans="1:8" s="1" customFormat="1" ht="14.45" customHeight="1" x14ac:dyDescent="0.25">
      <c r="A11" s="86"/>
      <c r="B11" s="90" t="s">
        <v>32</v>
      </c>
      <c r="C11" s="91"/>
      <c r="D11" s="31">
        <v>1</v>
      </c>
      <c r="E11" s="19"/>
      <c r="F11" s="8"/>
      <c r="G11" s="24"/>
    </row>
    <row r="12" spans="1:8" s="1" customFormat="1" ht="15" customHeight="1" thickBot="1" x14ac:dyDescent="0.3">
      <c r="A12" s="87"/>
      <c r="B12" s="95" t="s">
        <v>33</v>
      </c>
      <c r="C12" s="96"/>
      <c r="D12" s="32">
        <v>1</v>
      </c>
      <c r="E12" s="20"/>
      <c r="F12" s="9" t="str">
        <f>IF(SUM(E6:E12)&lt;SUM(D6:D12), "KO", "OK")</f>
        <v>KO</v>
      </c>
      <c r="G12" s="24"/>
    </row>
    <row r="13" spans="1:8" s="1" customFormat="1" ht="15" customHeight="1" thickTop="1" x14ac:dyDescent="0.25">
      <c r="A13" s="107" t="s">
        <v>39</v>
      </c>
      <c r="B13" s="104" t="s">
        <v>37</v>
      </c>
      <c r="C13" s="105"/>
      <c r="D13" s="70">
        <v>2</v>
      </c>
      <c r="E13" s="52">
        <v>2</v>
      </c>
      <c r="F13" s="10"/>
    </row>
    <row r="14" spans="1:8" ht="15.6" customHeight="1" x14ac:dyDescent="0.25">
      <c r="A14" s="108"/>
      <c r="B14" s="92" t="s">
        <v>69</v>
      </c>
      <c r="C14" s="72"/>
      <c r="D14" s="33">
        <v>1</v>
      </c>
      <c r="E14" s="21"/>
      <c r="F14" s="46"/>
      <c r="G14"/>
    </row>
    <row r="15" spans="1:8" ht="15.6" customHeight="1" x14ac:dyDescent="0.25">
      <c r="A15" s="108"/>
      <c r="B15" s="71" t="s">
        <v>70</v>
      </c>
      <c r="C15" s="72"/>
      <c r="D15" s="33">
        <v>3</v>
      </c>
      <c r="E15" s="21"/>
      <c r="F15" s="11"/>
      <c r="G15"/>
    </row>
    <row r="16" spans="1:8" x14ac:dyDescent="0.25">
      <c r="A16" s="108"/>
      <c r="B16" s="92" t="s">
        <v>13</v>
      </c>
      <c r="C16" s="72"/>
      <c r="D16" s="33">
        <v>2</v>
      </c>
      <c r="E16" s="21"/>
      <c r="G16"/>
    </row>
    <row r="17" spans="1:8" x14ac:dyDescent="0.25">
      <c r="A17" s="108"/>
      <c r="B17" s="92" t="s">
        <v>14</v>
      </c>
      <c r="C17" s="72"/>
      <c r="D17" s="33">
        <v>3</v>
      </c>
      <c r="E17" s="21"/>
      <c r="G17"/>
    </row>
    <row r="18" spans="1:8" x14ac:dyDescent="0.25">
      <c r="A18" s="108"/>
      <c r="B18" s="92" t="s">
        <v>67</v>
      </c>
      <c r="C18" s="72"/>
      <c r="D18" s="33">
        <v>3</v>
      </c>
      <c r="E18" s="49"/>
      <c r="G18"/>
    </row>
    <row r="19" spans="1:8" x14ac:dyDescent="0.25">
      <c r="A19" s="108"/>
      <c r="B19" s="92" t="s">
        <v>36</v>
      </c>
      <c r="C19" s="72"/>
      <c r="D19" s="45">
        <v>4</v>
      </c>
      <c r="E19" s="21"/>
      <c r="G19" s="48"/>
    </row>
    <row r="20" spans="1:8" ht="15.75" thickBot="1" x14ac:dyDescent="0.3">
      <c r="A20" s="109"/>
      <c r="B20" s="92" t="s">
        <v>15</v>
      </c>
      <c r="C20" s="72"/>
      <c r="D20" s="29">
        <v>2</v>
      </c>
      <c r="E20" s="21"/>
      <c r="F20" s="47">
        <f>SUM(E13:E20)</f>
        <v>2</v>
      </c>
      <c r="G20" s="25">
        <f>SUM(D13:D20)</f>
        <v>20</v>
      </c>
      <c r="H20">
        <f>F20/G20*10</f>
        <v>1</v>
      </c>
    </row>
    <row r="21" spans="1:8" ht="15.75" thickTop="1" x14ac:dyDescent="0.25">
      <c r="A21" s="75" t="s">
        <v>40</v>
      </c>
      <c r="B21" s="106" t="s">
        <v>38</v>
      </c>
      <c r="C21" s="79"/>
      <c r="D21" s="50">
        <v>2</v>
      </c>
      <c r="E21" s="51">
        <v>2</v>
      </c>
      <c r="G21" s="1"/>
      <c r="H21" s="1"/>
    </row>
    <row r="22" spans="1:8" x14ac:dyDescent="0.25">
      <c r="A22" s="76"/>
      <c r="B22" s="92" t="s">
        <v>17</v>
      </c>
      <c r="C22" s="72"/>
      <c r="D22" s="29">
        <v>3</v>
      </c>
      <c r="E22" s="21"/>
      <c r="G22"/>
    </row>
    <row r="23" spans="1:8" x14ac:dyDescent="0.25">
      <c r="A23" s="76"/>
      <c r="B23" s="92" t="s">
        <v>20</v>
      </c>
      <c r="C23" s="72"/>
      <c r="D23" s="29">
        <v>2</v>
      </c>
      <c r="E23" s="21"/>
      <c r="G23"/>
    </row>
    <row r="24" spans="1:8" x14ac:dyDescent="0.25">
      <c r="A24" s="76"/>
      <c r="B24" s="92" t="s">
        <v>21</v>
      </c>
      <c r="C24" s="72"/>
      <c r="D24" s="29">
        <v>2</v>
      </c>
      <c r="E24" s="21"/>
      <c r="G24"/>
    </row>
    <row r="25" spans="1:8" x14ac:dyDescent="0.25">
      <c r="A25" s="76"/>
      <c r="B25" s="92" t="s">
        <v>22</v>
      </c>
      <c r="C25" s="72"/>
      <c r="D25" s="29">
        <v>5</v>
      </c>
      <c r="E25" s="21"/>
    </row>
    <row r="26" spans="1:8" x14ac:dyDescent="0.25">
      <c r="A26" s="76"/>
      <c r="B26" s="92" t="s">
        <v>23</v>
      </c>
      <c r="C26" s="72"/>
      <c r="D26" s="45">
        <v>2</v>
      </c>
      <c r="E26" s="21"/>
    </row>
    <row r="27" spans="1:8" ht="15.75" thickBot="1" x14ac:dyDescent="0.3">
      <c r="A27" s="77"/>
      <c r="B27" s="110" t="s">
        <v>25</v>
      </c>
      <c r="C27" s="111"/>
      <c r="D27" s="54">
        <v>4</v>
      </c>
      <c r="E27" s="56"/>
      <c r="F27" s="47">
        <f>SUM(E21:E27)</f>
        <v>2</v>
      </c>
      <c r="G27" s="25">
        <f>SUM(D21:D27)</f>
        <v>20</v>
      </c>
      <c r="H27">
        <f>F27/G27*10</f>
        <v>1</v>
      </c>
    </row>
    <row r="28" spans="1:8" ht="15.75" thickTop="1" x14ac:dyDescent="0.25">
      <c r="A28" s="76" t="s">
        <v>41</v>
      </c>
      <c r="B28" s="78" t="s">
        <v>42</v>
      </c>
      <c r="C28" s="79"/>
      <c r="D28" s="57">
        <v>2</v>
      </c>
      <c r="E28" s="58">
        <v>2</v>
      </c>
      <c r="F28" s="55"/>
      <c r="G28" s="26"/>
    </row>
    <row r="29" spans="1:8" x14ac:dyDescent="0.25">
      <c r="A29" s="76"/>
      <c r="B29" s="92" t="s">
        <v>26</v>
      </c>
      <c r="C29" s="72"/>
      <c r="D29" s="45">
        <v>2</v>
      </c>
      <c r="E29" s="21"/>
    </row>
    <row r="30" spans="1:8" x14ac:dyDescent="0.25">
      <c r="A30" s="76"/>
      <c r="B30" s="92" t="s">
        <v>71</v>
      </c>
      <c r="C30" s="72"/>
      <c r="D30" s="29">
        <v>4</v>
      </c>
      <c r="E30" s="21"/>
    </row>
    <row r="31" spans="1:8" x14ac:dyDescent="0.25">
      <c r="A31" s="76"/>
      <c r="B31" s="92" t="s">
        <v>29</v>
      </c>
      <c r="C31" s="72"/>
      <c r="D31" s="29">
        <v>3</v>
      </c>
      <c r="E31" s="21"/>
    </row>
    <row r="32" spans="1:8" x14ac:dyDescent="0.25">
      <c r="A32" s="76"/>
      <c r="B32" s="92" t="s">
        <v>31</v>
      </c>
      <c r="C32" s="72"/>
      <c r="D32" s="29">
        <v>2</v>
      </c>
      <c r="E32" s="21"/>
    </row>
    <row r="33" spans="1:8" x14ac:dyDescent="0.25">
      <c r="A33" s="76"/>
      <c r="B33" s="92" t="s">
        <v>34</v>
      </c>
      <c r="C33" s="72"/>
      <c r="D33" s="29">
        <v>4</v>
      </c>
      <c r="E33" s="21"/>
    </row>
    <row r="34" spans="1:8" ht="16.149999999999999" customHeight="1" x14ac:dyDescent="0.25">
      <c r="A34" s="76"/>
      <c r="B34" s="92" t="s">
        <v>35</v>
      </c>
      <c r="C34" s="72"/>
      <c r="D34" s="29">
        <v>2</v>
      </c>
      <c r="E34" s="21"/>
    </row>
    <row r="35" spans="1:8" ht="16.149999999999999" customHeight="1" thickBot="1" x14ac:dyDescent="0.3">
      <c r="A35" s="76"/>
      <c r="B35" s="92" t="s">
        <v>30</v>
      </c>
      <c r="C35" s="72"/>
      <c r="D35" s="29">
        <v>1</v>
      </c>
      <c r="E35" s="56"/>
      <c r="F35" s="47">
        <f>SUM(E28:E35)</f>
        <v>2</v>
      </c>
      <c r="G35" s="25">
        <f>SUM(D28:D35)</f>
        <v>20</v>
      </c>
      <c r="H35">
        <f>F35/G35*10</f>
        <v>1</v>
      </c>
    </row>
    <row r="36" spans="1:8" ht="16.149999999999999" customHeight="1" thickTop="1" x14ac:dyDescent="0.25">
      <c r="A36" s="112" t="s">
        <v>52</v>
      </c>
      <c r="B36" s="115" t="s">
        <v>53</v>
      </c>
      <c r="C36" s="116"/>
      <c r="D36" s="64">
        <v>1</v>
      </c>
      <c r="E36" s="67">
        <v>1</v>
      </c>
      <c r="F36" s="62"/>
      <c r="G36" s="26"/>
    </row>
    <row r="37" spans="1:8" ht="16.149999999999999" customHeight="1" x14ac:dyDescent="0.25">
      <c r="A37" s="113"/>
      <c r="B37" s="99" t="s">
        <v>54</v>
      </c>
      <c r="C37" s="91"/>
      <c r="D37" s="65">
        <v>1</v>
      </c>
      <c r="E37" s="67">
        <v>1</v>
      </c>
      <c r="F37" s="63"/>
      <c r="G37" s="26"/>
    </row>
    <row r="38" spans="1:8" ht="16.149999999999999" customHeight="1" x14ac:dyDescent="0.25">
      <c r="A38" s="113"/>
      <c r="B38" s="99" t="s">
        <v>68</v>
      </c>
      <c r="C38" s="91"/>
      <c r="D38" s="65">
        <v>1</v>
      </c>
      <c r="E38" s="67" t="s">
        <v>83</v>
      </c>
      <c r="F38" s="63"/>
      <c r="G38" s="26"/>
    </row>
    <row r="39" spans="1:8" ht="16.149999999999999" customHeight="1" x14ac:dyDescent="0.25">
      <c r="A39" s="113"/>
      <c r="B39" s="90" t="s">
        <v>55</v>
      </c>
      <c r="C39" s="90"/>
      <c r="D39" s="65">
        <v>1</v>
      </c>
      <c r="E39" s="67" t="s">
        <v>81</v>
      </c>
      <c r="F39" s="63"/>
      <c r="G39" s="26"/>
      <c r="H39" t="s">
        <v>88</v>
      </c>
    </row>
    <row r="40" spans="1:8" ht="16.149999999999999" customHeight="1" thickBot="1" x14ac:dyDescent="0.3">
      <c r="A40" s="114"/>
      <c r="B40" s="117" t="s">
        <v>56</v>
      </c>
      <c r="C40" s="96"/>
      <c r="D40" s="66">
        <v>1</v>
      </c>
      <c r="E40" s="67" t="s">
        <v>81</v>
      </c>
      <c r="F40" s="9" t="str">
        <f>IF(SUM(E36:E40)&lt;SUM(D36:D40), "KO", "OK")</f>
        <v>KO</v>
      </c>
      <c r="G40" s="26"/>
      <c r="H40" t="s">
        <v>87</v>
      </c>
    </row>
    <row r="41" spans="1:8" ht="15.75" thickTop="1" x14ac:dyDescent="0.25">
      <c r="A41" s="75" t="s">
        <v>43</v>
      </c>
      <c r="B41" s="101" t="s">
        <v>50</v>
      </c>
      <c r="C41" s="102"/>
      <c r="D41" s="61">
        <v>2</v>
      </c>
      <c r="E41" s="51">
        <v>2</v>
      </c>
    </row>
    <row r="42" spans="1:8" x14ac:dyDescent="0.25">
      <c r="A42" s="76"/>
      <c r="B42" s="71" t="s">
        <v>72</v>
      </c>
      <c r="C42" s="72"/>
      <c r="D42" s="29">
        <v>2</v>
      </c>
      <c r="E42" s="21">
        <v>2</v>
      </c>
    </row>
    <row r="43" spans="1:8" x14ac:dyDescent="0.25">
      <c r="A43" s="76"/>
      <c r="B43" s="71" t="s">
        <v>73</v>
      </c>
      <c r="C43" s="72"/>
      <c r="D43" s="29">
        <v>2</v>
      </c>
      <c r="E43" s="21">
        <v>2</v>
      </c>
    </row>
    <row r="44" spans="1:8" x14ac:dyDescent="0.25">
      <c r="A44" s="76"/>
      <c r="B44" s="71" t="s">
        <v>74</v>
      </c>
      <c r="C44" s="72"/>
      <c r="D44" s="29">
        <v>2</v>
      </c>
      <c r="E44" s="21">
        <v>2</v>
      </c>
    </row>
    <row r="45" spans="1:8" x14ac:dyDescent="0.25">
      <c r="A45" s="76"/>
      <c r="B45" s="71" t="s">
        <v>75</v>
      </c>
      <c r="C45" s="72"/>
      <c r="D45" s="29">
        <v>2</v>
      </c>
      <c r="E45" s="21">
        <v>2</v>
      </c>
    </row>
    <row r="46" spans="1:8" x14ac:dyDescent="0.25">
      <c r="A46" s="76"/>
      <c r="B46" s="92" t="s">
        <v>44</v>
      </c>
      <c r="C46" s="72"/>
      <c r="D46" s="29">
        <v>2</v>
      </c>
      <c r="E46" s="21">
        <v>2</v>
      </c>
    </row>
    <row r="47" spans="1:8" x14ac:dyDescent="0.25">
      <c r="A47" s="76"/>
      <c r="B47" s="92" t="s">
        <v>45</v>
      </c>
      <c r="C47" s="72"/>
      <c r="D47" s="29">
        <v>3</v>
      </c>
      <c r="E47" s="21">
        <v>3</v>
      </c>
    </row>
    <row r="48" spans="1:8" x14ac:dyDescent="0.25">
      <c r="A48" s="76"/>
      <c r="B48" s="92" t="s">
        <v>46</v>
      </c>
      <c r="C48" s="72"/>
      <c r="D48" s="29">
        <v>1</v>
      </c>
      <c r="E48" s="21">
        <v>1</v>
      </c>
    </row>
    <row r="49" spans="1:9" x14ac:dyDescent="0.25">
      <c r="A49" s="76"/>
      <c r="B49" s="92" t="s">
        <v>47</v>
      </c>
      <c r="C49" s="72"/>
      <c r="D49" s="29">
        <v>3</v>
      </c>
      <c r="E49" s="21">
        <v>3</v>
      </c>
    </row>
    <row r="50" spans="1:9" ht="15.75" thickBot="1" x14ac:dyDescent="0.3">
      <c r="A50" s="76"/>
      <c r="B50" s="92" t="s">
        <v>63</v>
      </c>
      <c r="C50" s="72"/>
      <c r="D50" s="29">
        <v>1</v>
      </c>
      <c r="E50" s="21">
        <v>1</v>
      </c>
      <c r="F50" s="36">
        <f>SUM(E41:E50)</f>
        <v>20</v>
      </c>
      <c r="G50" s="25">
        <f>SUM(D41:D50)</f>
        <v>20</v>
      </c>
      <c r="H50">
        <f>F50/G50*10</f>
        <v>10</v>
      </c>
    </row>
    <row r="51" spans="1:9" ht="15.75" thickTop="1" x14ac:dyDescent="0.25">
      <c r="A51" s="75" t="s">
        <v>49</v>
      </c>
      <c r="B51" s="78" t="s">
        <v>51</v>
      </c>
      <c r="C51" s="79"/>
      <c r="D51" s="61">
        <v>2</v>
      </c>
      <c r="E51" s="51">
        <v>2</v>
      </c>
      <c r="F51" s="10"/>
    </row>
    <row r="52" spans="1:9" x14ac:dyDescent="0.25">
      <c r="A52" s="76"/>
      <c r="B52" s="97" t="s">
        <v>57</v>
      </c>
      <c r="C52" s="98"/>
      <c r="D52" s="29">
        <v>2</v>
      </c>
      <c r="E52" s="21">
        <v>2</v>
      </c>
    </row>
    <row r="53" spans="1:9" x14ac:dyDescent="0.25">
      <c r="A53" s="76"/>
      <c r="B53" s="73" t="s">
        <v>76</v>
      </c>
      <c r="C53" s="74"/>
      <c r="D53" s="29">
        <v>2</v>
      </c>
      <c r="E53" s="21">
        <v>2</v>
      </c>
    </row>
    <row r="54" spans="1:9" x14ac:dyDescent="0.25">
      <c r="A54" s="76"/>
      <c r="B54" s="73" t="s">
        <v>77</v>
      </c>
      <c r="C54" s="74"/>
      <c r="D54" s="29">
        <v>2</v>
      </c>
      <c r="E54" s="21" t="s">
        <v>81</v>
      </c>
    </row>
    <row r="55" spans="1:9" x14ac:dyDescent="0.25">
      <c r="A55" s="76"/>
      <c r="B55" s="73" t="s">
        <v>79</v>
      </c>
      <c r="C55" s="74"/>
      <c r="D55" s="29">
        <v>3</v>
      </c>
      <c r="E55" s="21" t="s">
        <v>81</v>
      </c>
      <c r="I55" t="s">
        <v>82</v>
      </c>
    </row>
    <row r="56" spans="1:9" x14ac:dyDescent="0.25">
      <c r="A56" s="76"/>
      <c r="B56" s="73" t="s">
        <v>78</v>
      </c>
      <c r="C56" s="74"/>
      <c r="D56" s="29">
        <v>3</v>
      </c>
      <c r="E56" s="21" t="s">
        <v>81</v>
      </c>
    </row>
    <row r="57" spans="1:9" x14ac:dyDescent="0.25">
      <c r="A57" s="76"/>
      <c r="B57" s="103" t="s">
        <v>58</v>
      </c>
      <c r="C57" s="74"/>
      <c r="D57" s="29">
        <v>2</v>
      </c>
      <c r="E57" s="21" t="s">
        <v>84</v>
      </c>
    </row>
    <row r="58" spans="1:9" x14ac:dyDescent="0.25">
      <c r="A58" s="76"/>
      <c r="B58" s="103" t="s">
        <v>85</v>
      </c>
      <c r="C58" s="74"/>
      <c r="D58" s="29">
        <v>2</v>
      </c>
      <c r="E58" s="21" t="s">
        <v>81</v>
      </c>
    </row>
    <row r="59" spans="1:9" ht="15.75" thickBot="1" x14ac:dyDescent="0.3">
      <c r="A59" s="76"/>
      <c r="B59" s="103" t="s">
        <v>65</v>
      </c>
      <c r="C59" s="74"/>
      <c r="D59" s="29">
        <v>2</v>
      </c>
      <c r="E59" s="56" t="s">
        <v>84</v>
      </c>
      <c r="F59" s="9">
        <f>SUM(E51:E59)</f>
        <v>6</v>
      </c>
      <c r="G59" s="25">
        <f>SUM(D51:D59)</f>
        <v>20</v>
      </c>
      <c r="H59">
        <f>F59/G59*10</f>
        <v>3</v>
      </c>
    </row>
    <row r="60" spans="1:9" ht="15.75" thickTop="1" x14ac:dyDescent="0.25">
      <c r="A60" s="75" t="s">
        <v>48</v>
      </c>
      <c r="B60" s="78" t="s">
        <v>86</v>
      </c>
      <c r="C60" s="79"/>
      <c r="D60" s="61">
        <v>2</v>
      </c>
      <c r="E60" s="58">
        <v>2</v>
      </c>
      <c r="F60" s="10"/>
    </row>
    <row r="61" spans="1:9" x14ac:dyDescent="0.25">
      <c r="A61" s="76"/>
      <c r="B61" s="73" t="s">
        <v>60</v>
      </c>
      <c r="C61" s="74"/>
      <c r="D61" s="29">
        <v>3</v>
      </c>
      <c r="E61" s="21"/>
      <c r="F61" s="46"/>
    </row>
    <row r="62" spans="1:9" x14ac:dyDescent="0.25">
      <c r="A62" s="76"/>
      <c r="B62" s="73" t="s">
        <v>66</v>
      </c>
      <c r="C62" s="74"/>
      <c r="D62" s="29">
        <v>3</v>
      </c>
      <c r="E62" s="21"/>
      <c r="F62" s="46"/>
    </row>
    <row r="63" spans="1:9" x14ac:dyDescent="0.25">
      <c r="A63" s="76"/>
      <c r="B63" s="73" t="s">
        <v>80</v>
      </c>
      <c r="C63" s="74"/>
      <c r="D63" s="29">
        <v>2</v>
      </c>
      <c r="E63" s="21"/>
      <c r="F63" s="46"/>
    </row>
    <row r="64" spans="1:9" x14ac:dyDescent="0.25">
      <c r="A64" s="76"/>
      <c r="B64" s="73" t="s">
        <v>61</v>
      </c>
      <c r="C64" s="74"/>
      <c r="D64" s="29">
        <v>3</v>
      </c>
      <c r="E64" s="21"/>
      <c r="F64" s="46"/>
    </row>
    <row r="65" spans="1:8" x14ac:dyDescent="0.25">
      <c r="A65" s="76"/>
      <c r="B65" s="73" t="s">
        <v>59</v>
      </c>
      <c r="C65" s="74"/>
      <c r="D65" s="29">
        <v>4</v>
      </c>
      <c r="E65" s="21"/>
      <c r="F65" s="46"/>
    </row>
    <row r="66" spans="1:8" ht="15.75" thickBot="1" x14ac:dyDescent="0.3">
      <c r="A66" s="77"/>
      <c r="B66" s="80" t="s">
        <v>62</v>
      </c>
      <c r="C66" s="81"/>
      <c r="D66" s="54">
        <v>3</v>
      </c>
      <c r="E66" s="21">
        <v>3</v>
      </c>
      <c r="F66" s="37">
        <f>SUM(E60:E66)</f>
        <v>5</v>
      </c>
      <c r="G66" s="25">
        <f>SUM(D60:D66)</f>
        <v>20</v>
      </c>
      <c r="H66">
        <f>F66/G66*10</f>
        <v>2.5</v>
      </c>
    </row>
    <row r="67" spans="1:8" ht="19.5" thickTop="1" x14ac:dyDescent="0.3">
      <c r="A67" s="7" t="s">
        <v>7</v>
      </c>
      <c r="B67" s="6"/>
      <c r="C67" s="6"/>
      <c r="D67" s="34"/>
      <c r="E67" s="22"/>
      <c r="F67" s="11"/>
      <c r="G67" s="26"/>
    </row>
    <row r="68" spans="1:8" x14ac:dyDescent="0.25">
      <c r="A68" s="23">
        <f>G20</f>
        <v>20</v>
      </c>
      <c r="B68" s="53">
        <f>F20</f>
        <v>2</v>
      </c>
      <c r="C68" s="3" t="str">
        <f>A13</f>
        <v>Game week 1</v>
      </c>
      <c r="D68" s="35"/>
      <c r="E68" s="15">
        <f t="shared" ref="E68:E73" si="0">(B68  / A68 ) * F68 * 10</f>
        <v>0.1666667</v>
      </c>
      <c r="F68" s="12">
        <v>0.1666667</v>
      </c>
    </row>
    <row r="69" spans="1:8" x14ac:dyDescent="0.25">
      <c r="A69" s="23">
        <f>G27</f>
        <v>20</v>
      </c>
      <c r="B69" s="53">
        <f>F27</f>
        <v>2</v>
      </c>
      <c r="C69" s="3" t="str">
        <f>A21</f>
        <v>Game week 3</v>
      </c>
      <c r="D69" s="35"/>
      <c r="E69" s="15">
        <f t="shared" si="0"/>
        <v>0.16666700000000004</v>
      </c>
      <c r="F69" s="12">
        <v>0.16666700000000001</v>
      </c>
    </row>
    <row r="70" spans="1:8" x14ac:dyDescent="0.25">
      <c r="A70" s="23">
        <f>G35</f>
        <v>20</v>
      </c>
      <c r="B70" s="59">
        <f>F35</f>
        <v>2</v>
      </c>
      <c r="C70" s="27" t="str">
        <f>A28</f>
        <v>Game week 5</v>
      </c>
      <c r="D70" s="35"/>
      <c r="E70" s="15">
        <f t="shared" si="0"/>
        <v>0.16670000000000001</v>
      </c>
      <c r="F70" s="12">
        <v>0.16669999999999999</v>
      </c>
      <c r="G70" s="24">
        <f>SUM(E68:E70)*(1/SUM(F68:F70))</f>
        <v>1.0000000000000002</v>
      </c>
    </row>
    <row r="71" spans="1:8" x14ac:dyDescent="0.25">
      <c r="A71" s="23">
        <f>G50</f>
        <v>20</v>
      </c>
      <c r="B71" s="59">
        <f>F50</f>
        <v>20</v>
      </c>
      <c r="C71" s="27" t="str">
        <f>A41</f>
        <v>Compiler week 2</v>
      </c>
      <c r="D71" s="35"/>
      <c r="E71" s="15">
        <f t="shared" si="0"/>
        <v>1.6669999999999998</v>
      </c>
      <c r="F71" s="12">
        <v>0.16669999999999999</v>
      </c>
    </row>
    <row r="72" spans="1:8" x14ac:dyDescent="0.25">
      <c r="A72" s="23">
        <f>G59</f>
        <v>20</v>
      </c>
      <c r="B72" s="59">
        <f>F59</f>
        <v>6</v>
      </c>
      <c r="C72" s="27" t="str">
        <f>A51</f>
        <v>Compiler week 4</v>
      </c>
      <c r="D72" s="35"/>
      <c r="E72" s="15">
        <f t="shared" si="0"/>
        <v>0.50009999999999988</v>
      </c>
      <c r="F72" s="12">
        <v>0.16669999999999999</v>
      </c>
    </row>
    <row r="73" spans="1:8" ht="15.75" thickBot="1" x14ac:dyDescent="0.3">
      <c r="A73" s="23">
        <f>G66</f>
        <v>20</v>
      </c>
      <c r="B73" s="60">
        <f>F66</f>
        <v>5</v>
      </c>
      <c r="C73" s="40" t="str">
        <f>A60</f>
        <v>Compiler week 6</v>
      </c>
      <c r="D73" s="35"/>
      <c r="E73" s="15">
        <f t="shared" si="0"/>
        <v>0.41674999999999995</v>
      </c>
      <c r="F73" s="12">
        <v>0.16669999999999999</v>
      </c>
      <c r="G73" s="24">
        <f>SUM(E71:E73)*(1/SUM(F71:F73))</f>
        <v>5.1666666666666661</v>
      </c>
    </row>
    <row r="74" spans="1:8" ht="20.25" thickTop="1" thickBot="1" x14ac:dyDescent="0.35">
      <c r="A74" s="38"/>
      <c r="B74" s="39"/>
      <c r="C74" s="4"/>
      <c r="D74" s="41"/>
      <c r="E74" s="44">
        <f>SUM(E68:E73)</f>
        <v>3.0838836999999999</v>
      </c>
      <c r="F74" s="42">
        <f>SUM(F68:F73)</f>
        <v>1.0001336999999999</v>
      </c>
      <c r="G74" s="43"/>
    </row>
    <row r="75" spans="1:8" ht="15.75" thickTop="1" x14ac:dyDescent="0.25">
      <c r="E75" s="16"/>
    </row>
    <row r="84" spans="2:3" x14ac:dyDescent="0.25">
      <c r="B84" s="100"/>
      <c r="C84" s="100"/>
    </row>
    <row r="85" spans="2:3" x14ac:dyDescent="0.25">
      <c r="B85" s="100"/>
      <c r="C85" s="100"/>
    </row>
    <row r="86" spans="2:3" x14ac:dyDescent="0.25">
      <c r="B86" s="100"/>
      <c r="C86" s="100"/>
    </row>
    <row r="87" spans="2:3" x14ac:dyDescent="0.25">
      <c r="B87" s="100"/>
      <c r="C87" s="100"/>
    </row>
    <row r="88" spans="2:3" x14ac:dyDescent="0.25">
      <c r="B88" s="100"/>
      <c r="C88" s="100"/>
    </row>
    <row r="89" spans="2:3" x14ac:dyDescent="0.25">
      <c r="B89" s="100"/>
      <c r="C89" s="100"/>
    </row>
    <row r="90" spans="2:3" x14ac:dyDescent="0.25">
      <c r="B90" s="100"/>
      <c r="C90" s="100"/>
    </row>
    <row r="91" spans="2:3" x14ac:dyDescent="0.25">
      <c r="B91" s="100"/>
      <c r="C91" s="100"/>
    </row>
    <row r="92" spans="2:3" x14ac:dyDescent="0.25">
      <c r="B92" s="100"/>
      <c r="C92" s="100"/>
    </row>
    <row r="93" spans="2:3" x14ac:dyDescent="0.25">
      <c r="B93" s="100"/>
      <c r="C93" s="100"/>
    </row>
    <row r="94" spans="2:3" x14ac:dyDescent="0.25">
      <c r="B94" s="100"/>
      <c r="C94" s="100"/>
    </row>
    <row r="95" spans="2:3" x14ac:dyDescent="0.25">
      <c r="B95" s="100"/>
      <c r="C95" s="100"/>
    </row>
    <row r="96" spans="2:3" x14ac:dyDescent="0.25">
      <c r="B96" s="100"/>
      <c r="C96" s="100"/>
    </row>
    <row r="97" spans="2:3" x14ac:dyDescent="0.25">
      <c r="B97" s="100"/>
      <c r="C97" s="100"/>
    </row>
    <row r="98" spans="2:3" x14ac:dyDescent="0.25">
      <c r="B98" s="100"/>
      <c r="C98" s="100"/>
    </row>
    <row r="99" spans="2:3" x14ac:dyDescent="0.25">
      <c r="B99" s="100"/>
      <c r="C99" s="100"/>
    </row>
  </sheetData>
  <mergeCells count="90">
    <mergeCell ref="A28:A35"/>
    <mergeCell ref="B28:C28"/>
    <mergeCell ref="A36:A40"/>
    <mergeCell ref="B36:C36"/>
    <mergeCell ref="B37:C37"/>
    <mergeCell ref="B40:C40"/>
    <mergeCell ref="B33:C33"/>
    <mergeCell ref="B29:C29"/>
    <mergeCell ref="B30:C30"/>
    <mergeCell ref="B31:C31"/>
    <mergeCell ref="B34:C34"/>
    <mergeCell ref="B32:C32"/>
    <mergeCell ref="B18:C18"/>
    <mergeCell ref="B13:C13"/>
    <mergeCell ref="B21:C21"/>
    <mergeCell ref="A21:A27"/>
    <mergeCell ref="A13:A20"/>
    <mergeCell ref="B22:C22"/>
    <mergeCell ref="B23:C23"/>
    <mergeCell ref="B24:C24"/>
    <mergeCell ref="B25:C25"/>
    <mergeCell ref="B26:C26"/>
    <mergeCell ref="B27:C27"/>
    <mergeCell ref="B15:C15"/>
    <mergeCell ref="B84:C84"/>
    <mergeCell ref="B85:C85"/>
    <mergeCell ref="B86:C86"/>
    <mergeCell ref="B87:C87"/>
    <mergeCell ref="B41:C41"/>
    <mergeCell ref="B47:C47"/>
    <mergeCell ref="B48:C48"/>
    <mergeCell ref="B42:C42"/>
    <mergeCell ref="B46:C46"/>
    <mergeCell ref="B57:C57"/>
    <mergeCell ref="B58:C58"/>
    <mergeCell ref="B59:C59"/>
    <mergeCell ref="B49:C49"/>
    <mergeCell ref="B50:C50"/>
    <mergeCell ref="B43:C43"/>
    <mergeCell ref="B44:C44"/>
    <mergeCell ref="B88:C88"/>
    <mergeCell ref="B99:C99"/>
    <mergeCell ref="B98:C98"/>
    <mergeCell ref="B96:C96"/>
    <mergeCell ref="B97:C97"/>
    <mergeCell ref="B92:C92"/>
    <mergeCell ref="B93:C93"/>
    <mergeCell ref="B94:C94"/>
    <mergeCell ref="B95:C95"/>
    <mergeCell ref="B89:C89"/>
    <mergeCell ref="B90:C90"/>
    <mergeCell ref="B91:C91"/>
    <mergeCell ref="A41:A50"/>
    <mergeCell ref="A51:A59"/>
    <mergeCell ref="B14:C14"/>
    <mergeCell ref="B5:C5"/>
    <mergeCell ref="B35:C35"/>
    <mergeCell ref="B6:C6"/>
    <mergeCell ref="B7:C7"/>
    <mergeCell ref="B12:C12"/>
    <mergeCell ref="B16:C16"/>
    <mergeCell ref="B17:C17"/>
    <mergeCell ref="B51:C51"/>
    <mergeCell ref="B52:C52"/>
    <mergeCell ref="B39:C39"/>
    <mergeCell ref="B20:C20"/>
    <mergeCell ref="B38:C38"/>
    <mergeCell ref="B19:C19"/>
    <mergeCell ref="A2:B2"/>
    <mergeCell ref="A1:B1"/>
    <mergeCell ref="A3:B3"/>
    <mergeCell ref="A4:B4"/>
    <mergeCell ref="A6:A12"/>
    <mergeCell ref="B8:C8"/>
    <mergeCell ref="B9:C9"/>
    <mergeCell ref="B10:C10"/>
    <mergeCell ref="B11:C11"/>
    <mergeCell ref="A60:A66"/>
    <mergeCell ref="B60:C60"/>
    <mergeCell ref="B61:C61"/>
    <mergeCell ref="B62:C62"/>
    <mergeCell ref="B63:C63"/>
    <mergeCell ref="B64:C64"/>
    <mergeCell ref="B65:C65"/>
    <mergeCell ref="B66:C66"/>
    <mergeCell ref="B45:C45"/>
    <mergeCell ref="B53:C53"/>
    <mergeCell ref="B54:C54"/>
    <mergeCell ref="B55:C55"/>
    <mergeCell ref="B56:C56"/>
  </mergeCells>
  <conditionalFormatting sqref="E4">
    <cfRule type="cellIs" dxfId="6" priority="8" operator="lessThan">
      <formula>5.5</formula>
    </cfRule>
    <cfRule type="cellIs" dxfId="5" priority="9" operator="equal">
      <formula>"NB"</formula>
    </cfRule>
  </conditionalFormatting>
  <conditionalFormatting sqref="E74">
    <cfRule type="cellIs" dxfId="4" priority="7" operator="lessThan">
      <formula>5.5</formula>
    </cfRule>
  </conditionalFormatting>
  <conditionalFormatting sqref="F12:F13">
    <cfRule type="cellIs" dxfId="3" priority="3" operator="equal">
      <formula>"KO"</formula>
    </cfRule>
    <cfRule type="cellIs" dxfId="2" priority="4" operator="equal">
      <formula>"OK"</formula>
    </cfRule>
  </conditionalFormatting>
  <conditionalFormatting sqref="F40">
    <cfRule type="cellIs" dxfId="1" priority="1" operator="equal">
      <formula>"KO"</formula>
    </cfRule>
    <cfRule type="cellIs" dxfId="0" priority="2" operator="equal">
      <formula>"OK"</formula>
    </cfRule>
  </conditionalFormatting>
  <pageMargins left="0.7" right="0.7" top="0.75" bottom="0.75" header="0.3" footer="0.3"/>
  <pageSetup orientation="portrait" r:id="rId1"/>
  <ignoredErrors>
    <ignoredError sqref="A71:B71" formula="1"/>
  </ignoredError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Voorbeeld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2016-06-01T12:00:01Z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1a9c10e1-692a-41dc-b287-a39edcd61ff8</vt:lpwstr>
  </property>
</Properties>
</file>